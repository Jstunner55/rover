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Jose\Desktop\side_projects\rover\docs\"/>
    </mc:Choice>
  </mc:AlternateContent>
  <xr:revisionPtr revIDLastSave="0" documentId="13_ncr:1_{DF9ADE2D-B7D8-431E-9BE4-F3111C493262}" xr6:coauthVersionLast="47" xr6:coauthVersionMax="47" xr10:uidLastSave="{00000000-0000-0000-0000-000000000000}"/>
  <bookViews>
    <workbookView xWindow="-86520" yWindow="60" windowWidth="29040" windowHeight="15720" xr2:uid="{00000000-000D-0000-FFFF-FFFF00000000}"/>
  </bookViews>
  <sheets>
    <sheet name="ProjectSchedule" sheetId="11" r:id="rId1"/>
    <sheet name="About" sheetId="12" r:id="rId2"/>
  </sheets>
  <definedNames>
    <definedName name="_xlnm.Print_Area" localSheetId="0">ProjectSchedule!$1:$36</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11" l="1"/>
  <c r="H36" i="11"/>
  <c r="H35" i="11"/>
  <c r="H34" i="11"/>
  <c r="B13" i="12"/>
  <c r="J1" i="11"/>
  <c r="H32" i="11" l="1"/>
  <c r="H31" i="11"/>
  <c r="H29" i="11"/>
  <c r="H28" i="11"/>
  <c r="H27" i="11"/>
  <c r="H26" i="11"/>
  <c r="H25" i="11"/>
  <c r="H24" i="11"/>
  <c r="H23" i="11"/>
  <c r="H21" i="11"/>
  <c r="H20" i="11"/>
  <c r="H18" i="11"/>
  <c r="H17"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6" i="11" l="1"/>
  <c r="BN5" i="11"/>
  <c r="BM4" i="11"/>
  <c r="BL6" i="11"/>
  <c r="AG6" i="11"/>
  <c r="BN6" i="11" l="1"/>
  <c r="BO5" i="11"/>
  <c r="AH6" i="11"/>
  <c r="BP5" i="11" l="1"/>
  <c r="BO6" i="11"/>
  <c r="AI6" i="11"/>
  <c r="BP6" i="11" l="1"/>
  <c r="BQ5" i="11"/>
  <c r="AJ6" i="11"/>
  <c r="BR5" i="11" l="1"/>
  <c r="BQ6" i="11"/>
  <c r="AK6" i="11"/>
  <c r="BR6" i="11" l="1"/>
  <c r="BS5" i="11"/>
  <c r="AL6" i="11"/>
  <c r="BS6" i="11" l="1"/>
  <c r="BT5" i="11"/>
  <c r="AM6" i="11"/>
  <c r="BT4" i="11" l="1"/>
  <c r="BU5" i="11"/>
  <c r="BT6" i="11"/>
  <c r="AN6" i="11"/>
  <c r="BU6" i="11" l="1"/>
  <c r="BV5" i="11"/>
  <c r="AO6" i="11"/>
  <c r="BW5" i="11" l="1"/>
  <c r="BV6" i="11"/>
  <c r="AP6" i="11"/>
  <c r="BW6" i="11" l="1"/>
  <c r="BX5" i="11"/>
  <c r="AQ6" i="11"/>
  <c r="BY5" i="11" l="1"/>
  <c r="BX6" i="11"/>
  <c r="AR6" i="11"/>
  <c r="BZ5" i="11" l="1"/>
  <c r="BZ6" i="11" s="1"/>
  <c r="BY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<sst xmlns="http://schemas.openxmlformats.org/spreadsheetml/2006/main" count="61" uniqueCount="47">
  <si>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</si>
  <si>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</si>
  <si>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</si>
  <si>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</si>
  <si>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</si>
  <si>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</si>
  <si>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</si>
  <si>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</si>
  <si>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</si>
  <si>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</si>
  <si>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</si>
  <si>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</si>
  <si>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</si>
  <si>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</si>
  <si>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</si>
  <si>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</si>
  <si>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</si>
  <si>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</si>
  <si>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</si>
  <si>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</si>
  <si>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</si>
  <si>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</si>
  <si>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</si>
  <si>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Rover Project</t>
  </si>
  <si>
    <t>ReyMex</t>
  </si>
  <si>
    <t>Jose Reyes</t>
  </si>
  <si>
    <t>Planning</t>
  </si>
  <si>
    <t>Electrical Design</t>
  </si>
  <si>
    <t>Mechanical Design</t>
  </si>
  <si>
    <t>Structural Design</t>
  </si>
  <si>
    <t>Harness Design</t>
  </si>
  <si>
    <t>Github Repository</t>
  </si>
  <si>
    <t>Project Needs</t>
  </si>
  <si>
    <t>File System Setup</t>
  </si>
  <si>
    <t>Component Selection</t>
  </si>
  <si>
    <t>Schematic Development</t>
  </si>
  <si>
    <t>BOM</t>
  </si>
  <si>
    <t>Motion Design Decisions</t>
  </si>
  <si>
    <t>Simulations</t>
  </si>
  <si>
    <t>Report</t>
  </si>
  <si>
    <t>Research/Calcs</t>
  </si>
  <si>
    <t>Material Selection</t>
  </si>
  <si>
    <t>CAD</t>
  </si>
  <si>
    <t>Gauge Selection</t>
  </si>
  <si>
    <t>TBD</t>
  </si>
  <si>
    <t>Powerpoint</t>
  </si>
  <si>
    <t>Publishing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</si>
</sst>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26"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theme="9" tint="0.39997558519241921"/>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cellStyleXfs>
  <cellXfs count="10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0" borderId="0" xfId="0" applyFont="1" applyAlignment="1">
      <alignment vertical="center"/>
    </xf>
    <xf numFmtId="0" fontId="9" fillId="0" borderId="0" xfId="0" applyFont="1"/>
    <xf numFmtId="0" fontId="6" fillId="14" borderId="1" xfId="0" applyFont="1" applyFill="1" applyBorder="1" applyAlignment="1">
      <alignment horizontal="left" vertical="center" indent="1"/>
    </xf>
    <xf numFmtId="0" fontId="6" fillId="14" borderId="1" xfId="0" applyFont="1" applyFill="1" applyBorder="1" applyAlignment="1">
      <alignment horizontal="center" vertical="center" wrapText="1"/>
    </xf>
    <xf numFmtId="167" fontId="10" fillId="7" borderId="0" xfId="0" applyNumberFormat="1" applyFont="1" applyFill="1" applyAlignment="1">
      <alignment horizontal="center" vertical="center"/>
    </xf>
    <xf numFmtId="167" fontId="10" fillId="7" borderId="8" xfId="0" applyNumberFormat="1" applyFont="1" applyFill="1" applyBorder="1" applyAlignment="1">
      <alignment horizontal="center" vertical="center"/>
    </xf>
    <xf numFmtId="167" fontId="10" fillId="7" borderId="9" xfId="0" applyNumberFormat="1" applyFont="1" applyFill="1" applyBorder="1" applyAlignment="1">
      <alignment horizontal="center" vertical="center"/>
    </xf>
    <xf numFmtId="0" fontId="13" fillId="13" borderId="10" xfId="0" applyFont="1" applyFill="1" applyBorder="1" applyAlignment="1">
      <alignment horizontal="center" vertical="center" shrinkToFit="1"/>
    </xf>
    <xf numFmtId="0" fontId="14" fillId="0" borderId="0" xfId="0" applyFont="1" applyAlignment="1">
      <alignment horizontal="left"/>
    </xf>
    <xf numFmtId="0" fontId="15" fillId="0" borderId="0" xfId="1" applyFont="1" applyAlignment="1" applyProtection="1"/>
    <xf numFmtId="0" fontId="16"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4"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0" fontId="5" fillId="8" borderId="2" xfId="0" applyFont="1" applyFill="1" applyBorder="1" applyAlignment="1">
      <alignment horizontal="center" vertical="center"/>
    </xf>
    <xf numFmtId="9" fontId="4"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4" fillId="8" borderId="2" xfId="0" applyNumberFormat="1" applyFont="1" applyFill="1" applyBorder="1" applyAlignment="1">
      <alignment horizontal="center" vertical="center"/>
    </xf>
    <xf numFmtId="0" fontId="0" fillId="2" borderId="2" xfId="0" applyFill="1" applyBorder="1" applyAlignment="1">
      <alignment horizontal="left" vertical="center" indent="2"/>
    </xf>
    <xf numFmtId="0" fontId="0" fillId="2" borderId="2" xfId="0" applyFill="1" applyBorder="1" applyAlignment="1">
      <alignment horizontal="center" vertical="center"/>
    </xf>
    <xf numFmtId="9" fontId="4" fillId="2" borderId="2" xfId="2" applyFont="1" applyFill="1" applyBorder="1" applyAlignment="1">
      <alignment horizontal="center" vertical="center"/>
    </xf>
    <xf numFmtId="164" fontId="0" fillId="2" borderId="2" xfId="0" applyNumberFormat="1" applyFill="1" applyBorder="1" applyAlignment="1">
      <alignment horizontal="center" vertical="center"/>
    </xf>
    <xf numFmtId="0" fontId="5" fillId="9" borderId="2" xfId="0" applyFont="1" applyFill="1" applyBorder="1" applyAlignment="1">
      <alignment horizontal="left" vertical="center" indent="1"/>
    </xf>
    <xf numFmtId="0" fontId="5" fillId="9" borderId="2" xfId="0" applyFont="1" applyFill="1" applyBorder="1" applyAlignment="1">
      <alignment horizontal="center" vertical="center"/>
    </xf>
    <xf numFmtId="9" fontId="4"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4"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4"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4" fillId="3" borderId="2" xfId="0" applyNumberFormat="1" applyFont="1" applyFill="1" applyBorder="1" applyAlignment="1">
      <alignment horizontal="center" vertical="center"/>
    </xf>
    <xf numFmtId="0" fontId="5" fillId="5" borderId="2" xfId="0" applyFont="1" applyFill="1" applyBorder="1" applyAlignment="1">
      <alignment horizontal="left" vertical="center" indent="1"/>
    </xf>
    <xf numFmtId="0" fontId="5" fillId="5" borderId="2" xfId="0" applyFont="1" applyFill="1" applyBorder="1" applyAlignment="1">
      <alignment horizontal="center" vertical="center"/>
    </xf>
    <xf numFmtId="9" fontId="4"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4" fillId="5"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4"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4" fillId="12" borderId="2" xfId="0" applyNumberFormat="1" applyFont="1" applyFill="1" applyBorder="1" applyAlignment="1">
      <alignment horizontal="center" vertical="center"/>
    </xf>
    <xf numFmtId="0" fontId="5" fillId="4" borderId="2" xfId="0" applyFont="1" applyFill="1" applyBorder="1" applyAlignment="1">
      <alignment horizontal="left" vertical="center" indent="1"/>
    </xf>
    <xf numFmtId="0" fontId="5" fillId="4" borderId="2" xfId="0" applyFont="1" applyFill="1" applyBorder="1" applyAlignment="1">
      <alignment horizontal="center" vertical="center"/>
    </xf>
    <xf numFmtId="9" fontId="4"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4" fillId="4" borderId="2" xfId="0" applyNumberFormat="1" applyFont="1" applyFill="1" applyBorder="1" applyAlignment="1">
      <alignment horizontal="center" vertical="center"/>
    </xf>
    <xf numFmtId="0" fontId="0" fillId="10" borderId="2" xfId="0" applyFill="1" applyBorder="1" applyAlignment="1">
      <alignment horizontal="left" vertical="center" indent="2"/>
    </xf>
    <xf numFmtId="0" fontId="0" fillId="10" borderId="2" xfId="0" applyFill="1" applyBorder="1" applyAlignment="1">
      <alignment horizontal="center" vertical="center"/>
    </xf>
    <xf numFmtId="9" fontId="4"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4" fillId="10" borderId="2" xfId="0" applyNumberFormat="1" applyFont="1" applyFill="1" applyBorder="1" applyAlignment="1">
      <alignment horizontal="center" vertical="center"/>
    </xf>
    <xf numFmtId="0" fontId="5" fillId="6" borderId="2" xfId="0" applyFont="1" applyFill="1" applyBorder="1" applyAlignment="1">
      <alignment horizontal="left" vertical="center" indent="1"/>
    </xf>
    <xf numFmtId="0" fontId="5" fillId="6" borderId="2" xfId="0" applyFont="1" applyFill="1" applyBorder="1" applyAlignment="1">
      <alignment horizontal="center" vertical="center"/>
    </xf>
    <xf numFmtId="9" fontId="4"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4" fillId="6"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4"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4" fillId="11" borderId="2" xfId="0" applyNumberFormat="1"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2" fillId="0" borderId="0" xfId="0" applyFont="1" applyAlignment="1">
      <alignment vertical="top"/>
    </xf>
    <xf numFmtId="0" fontId="17"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vertical="center"/>
    </xf>
    <xf numFmtId="0" fontId="2" fillId="0" borderId="0" xfId="0" applyFont="1" applyAlignment="1">
      <alignment horizontal="left" vertical="center"/>
    </xf>
    <xf numFmtId="0" fontId="20" fillId="0" borderId="0" xfId="0" applyFont="1"/>
    <xf numFmtId="0" fontId="21" fillId="0" borderId="0" xfId="0" applyFont="1" applyAlignment="1">
      <alignment vertical="top" wrapText="1"/>
    </xf>
    <xf numFmtId="0" fontId="22" fillId="0" borderId="0" xfId="0" applyFont="1" applyAlignment="1">
      <alignment vertical="center"/>
    </xf>
    <xf numFmtId="0" fontId="21" fillId="0" borderId="0" xfId="0" applyFont="1" applyAlignment="1">
      <alignment horizontal="left" vertical="top" wrapText="1" indent="1"/>
    </xf>
    <xf numFmtId="0" fontId="3" fillId="0" borderId="0" xfId="1" applyAlignment="1" applyProtection="1">
      <alignment horizontal="left" indent="1"/>
    </xf>
    <xf numFmtId="0" fontId="2" fillId="0" borderId="0" xfId="0" applyFont="1" applyAlignment="1">
      <alignment horizontal="right" vertical="center"/>
    </xf>
    <xf numFmtId="0" fontId="23" fillId="0" borderId="0" xfId="0" applyFont="1" applyAlignment="1">
      <alignment vertical="top"/>
    </xf>
    <xf numFmtId="0" fontId="24" fillId="0" borderId="0" xfId="0" applyFont="1"/>
    <xf numFmtId="0" fontId="24" fillId="0" borderId="0" xfId="1" applyFont="1" applyAlignment="1" applyProtection="1"/>
    <xf numFmtId="0" fontId="3" fillId="0" borderId="0" xfId="1" applyFill="1" applyAlignment="1" applyProtection="1">
      <alignment horizontal="left" indent="1"/>
    </xf>
    <xf numFmtId="0" fontId="0" fillId="15" borderId="2" xfId="0" applyFill="1" applyBorder="1" applyAlignment="1">
      <alignment horizontal="left" vertical="center" indent="2"/>
    </xf>
    <xf numFmtId="0" fontId="0" fillId="15" borderId="2" xfId="0" applyFill="1" applyBorder="1" applyAlignment="1">
      <alignment horizontal="center" vertical="center"/>
    </xf>
    <xf numFmtId="9" fontId="4" fillId="15" borderId="2" xfId="2" applyFont="1" applyFill="1" applyBorder="1" applyAlignment="1">
      <alignment horizontal="center" vertical="center"/>
    </xf>
    <xf numFmtId="164" fontId="0" fillId="15" borderId="2" xfId="0" applyNumberFormat="1" applyFill="1" applyBorder="1" applyAlignment="1">
      <alignment horizontal="center" vertical="center"/>
    </xf>
    <xf numFmtId="0" fontId="5" fillId="16" borderId="2" xfId="0" applyFont="1" applyFill="1" applyBorder="1" applyAlignment="1">
      <alignment horizontal="left" vertical="center" indent="1"/>
    </xf>
    <xf numFmtId="0" fontId="5" fillId="16" borderId="2" xfId="0" applyFont="1" applyFill="1" applyBorder="1" applyAlignment="1">
      <alignment horizontal="center" vertical="center"/>
    </xf>
    <xf numFmtId="9" fontId="4" fillId="16" borderId="2" xfId="2" applyFont="1" applyFill="1" applyBorder="1" applyAlignment="1">
      <alignment horizontal="center" vertical="center"/>
    </xf>
    <xf numFmtId="164" fontId="0" fillId="16" borderId="2" xfId="0" applyNumberFormat="1" applyFill="1" applyBorder="1" applyAlignment="1">
      <alignment horizontal="center" vertical="center"/>
    </xf>
    <xf numFmtId="164" fontId="4" fillId="16" borderId="2" xfId="0" applyNumberFormat="1" applyFont="1" applyFill="1" applyBorder="1" applyAlignment="1">
      <alignment horizontal="center" vertical="center"/>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7" borderId="6"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7" xfId="0" applyNumberFormat="1" applyFill="1" applyBorder="1" applyAlignment="1">
      <alignment horizontal="left" vertical="center" wrapText="1" indent="1"/>
    </xf>
    <xf numFmtId="0" fontId="25" fillId="0" borderId="0" xfId="1" applyFont="1" applyAlignment="1" applyProtection="1">
      <alignment horizontal="left"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38"/>
  <sheetViews>
    <sheetView showGridLines="0" tabSelected="1" showRuler="0" zoomScaleNormal="100" zoomScalePageLayoutView="70" workbookViewId="0">
      <pane ySplit="6" topLeftCell="A7" activePane="bottomLeft" state="frozen"/>
      <selection pane="bottomLeft" activeCell="D10" sqref="D10"/>
    </sheetView>
  </sheetViews>
  <sheetFormatPr defaultRowHeight="15" x14ac:dyDescent="0.25"/>
  <cols>
    <col min="1" max="1" width="2.7109375" customWidth="1"/>
    <col min="2" max="2" width="19.85546875" customWidth="1"/>
    <col min="3" max="3" width="9.140625" customWidth="1"/>
    <col min="4" max="4" width="10.7109375" customWidth="1"/>
    <col min="5" max="5" width="10.42578125" style="5" customWidth="1"/>
    <col min="6" max="6" width="10.42578125" customWidth="1"/>
    <col min="7" max="7" width="2.7109375" customWidth="1"/>
    <col min="8" max="8" width="6.140625" hidden="1" customWidth="1"/>
    <col min="9" max="78" width="2.5703125" customWidth="1"/>
  </cols>
  <sheetData>
    <row r="1" spans="1:78" ht="28.5" x14ac:dyDescent="0.45">
      <c r="B1" s="16" t="s">
        <v>23</v>
      </c>
      <c r="C1" s="1"/>
      <c r="D1" s="2"/>
      <c r="E1" s="4"/>
      <c r="F1" s="86"/>
      <c r="H1" s="2"/>
      <c r="I1" s="8"/>
      <c r="J1" s="105" t="str">
        <f>HYPERLINK("https://vertex42.link/HowToMakeAGanttChart","► Watch How to Make a Gantt Chart in Excel")</f>
        <v>► Watch How to Make a Gantt Chart in Excel</v>
      </c>
      <c r="K1" s="105"/>
      <c r="L1" s="105"/>
      <c r="M1" s="105"/>
      <c r="N1" s="105"/>
      <c r="O1" s="105"/>
      <c r="P1" s="105"/>
      <c r="Q1" s="105"/>
      <c r="R1" s="105"/>
      <c r="S1" s="105"/>
      <c r="T1" s="105"/>
      <c r="U1" s="105"/>
      <c r="V1" s="105"/>
      <c r="W1" s="105"/>
      <c r="X1" s="105"/>
      <c r="Y1" s="105"/>
      <c r="Z1" s="105"/>
      <c r="AA1" s="105"/>
    </row>
    <row r="2" spans="1:78" ht="19.5" customHeight="1" x14ac:dyDescent="0.3">
      <c r="B2" s="9" t="s">
        <v>24</v>
      </c>
      <c r="D2" s="6" t="s">
        <v>0</v>
      </c>
      <c r="E2" s="100">
        <v>45997</v>
      </c>
      <c r="F2" s="101"/>
    </row>
    <row r="3" spans="1:78" ht="19.5" customHeight="1" x14ac:dyDescent="0.3">
      <c r="B3" s="9" t="s">
        <v>25</v>
      </c>
      <c r="D3" s="6" t="s">
        <v>21</v>
      </c>
      <c r="E3" s="100">
        <f ca="1">TODAY()</f>
        <v>45998</v>
      </c>
      <c r="F3" s="101"/>
    </row>
    <row r="4" spans="1:78" ht="19.5" customHeight="1" x14ac:dyDescent="0.25">
      <c r="D4" s="6" t="s">
        <v>7</v>
      </c>
      <c r="E4" s="7">
        <v>1</v>
      </c>
      <c r="I4" s="102">
        <f>I5</f>
        <v>45992</v>
      </c>
      <c r="J4" s="103"/>
      <c r="K4" s="103"/>
      <c r="L4" s="103"/>
      <c r="M4" s="103"/>
      <c r="N4" s="103"/>
      <c r="O4" s="104"/>
      <c r="P4" s="102">
        <f>P5</f>
        <v>45999</v>
      </c>
      <c r="Q4" s="103"/>
      <c r="R4" s="103"/>
      <c r="S4" s="103"/>
      <c r="T4" s="103"/>
      <c r="U4" s="103"/>
      <c r="V4" s="104"/>
      <c r="W4" s="102">
        <f>W5</f>
        <v>46006</v>
      </c>
      <c r="X4" s="103"/>
      <c r="Y4" s="103"/>
      <c r="Z4" s="103"/>
      <c r="AA4" s="103"/>
      <c r="AB4" s="103"/>
      <c r="AC4" s="104"/>
      <c r="AD4" s="102">
        <f>AD5</f>
        <v>46013</v>
      </c>
      <c r="AE4" s="103"/>
      <c r="AF4" s="103"/>
      <c r="AG4" s="103"/>
      <c r="AH4" s="103"/>
      <c r="AI4" s="103"/>
      <c r="AJ4" s="104"/>
      <c r="AK4" s="102">
        <f>AK5</f>
        <v>46020</v>
      </c>
      <c r="AL4" s="103"/>
      <c r="AM4" s="103"/>
      <c r="AN4" s="103"/>
      <c r="AO4" s="103"/>
      <c r="AP4" s="103"/>
      <c r="AQ4" s="104"/>
      <c r="AR4" s="102">
        <f>AR5</f>
        <v>46027</v>
      </c>
      <c r="AS4" s="103"/>
      <c r="AT4" s="103"/>
      <c r="AU4" s="103"/>
      <c r="AV4" s="103"/>
      <c r="AW4" s="103"/>
      <c r="AX4" s="104"/>
      <c r="AY4" s="102">
        <f>AY5</f>
        <v>46034</v>
      </c>
      <c r="AZ4" s="103"/>
      <c r="BA4" s="103"/>
      <c r="BB4" s="103"/>
      <c r="BC4" s="103"/>
      <c r="BD4" s="103"/>
      <c r="BE4" s="104"/>
      <c r="BF4" s="102">
        <f>BF5</f>
        <v>46041</v>
      </c>
      <c r="BG4" s="103"/>
      <c r="BH4" s="103"/>
      <c r="BI4" s="103"/>
      <c r="BJ4" s="103"/>
      <c r="BK4" s="103"/>
      <c r="BL4" s="104"/>
      <c r="BM4" s="102">
        <f>BM5</f>
        <v>46048</v>
      </c>
      <c r="BN4" s="103"/>
      <c r="BO4" s="103"/>
      <c r="BP4" s="103"/>
      <c r="BQ4" s="103"/>
      <c r="BR4" s="103"/>
      <c r="BS4" s="104"/>
      <c r="BT4" s="102">
        <f>BT5</f>
        <v>46055</v>
      </c>
      <c r="BU4" s="103"/>
      <c r="BV4" s="103"/>
      <c r="BW4" s="103"/>
      <c r="BX4" s="103"/>
      <c r="BY4" s="103"/>
      <c r="BZ4" s="104"/>
    </row>
    <row r="5" spans="1:78" x14ac:dyDescent="0.25">
      <c r="A5" s="6"/>
      <c r="G5" s="6"/>
      <c r="I5" s="13">
        <f>E2-WEEKDAY(E2,1)+2+7*(E4-1)</f>
        <v>45992</v>
      </c>
      <c r="J5" s="12">
        <f>I5+1</f>
        <v>45993</v>
      </c>
      <c r="K5" s="12">
        <f t="shared" ref="K5:AX5" si="0">J5+1</f>
        <v>45994</v>
      </c>
      <c r="L5" s="12">
        <f t="shared" si="0"/>
        <v>45995</v>
      </c>
      <c r="M5" s="12">
        <f t="shared" si="0"/>
        <v>45996</v>
      </c>
      <c r="N5" s="12">
        <f t="shared" si="0"/>
        <v>45997</v>
      </c>
      <c r="O5" s="14">
        <f t="shared" si="0"/>
        <v>45998</v>
      </c>
      <c r="P5" s="13">
        <f>O5+1</f>
        <v>45999</v>
      </c>
      <c r="Q5" s="12">
        <f>P5+1</f>
        <v>46000</v>
      </c>
      <c r="R5" s="12">
        <f t="shared" si="0"/>
        <v>46001</v>
      </c>
      <c r="S5" s="12">
        <f t="shared" si="0"/>
        <v>46002</v>
      </c>
      <c r="T5" s="12">
        <f t="shared" si="0"/>
        <v>46003</v>
      </c>
      <c r="U5" s="12">
        <f t="shared" si="0"/>
        <v>46004</v>
      </c>
      <c r="V5" s="14">
        <f t="shared" si="0"/>
        <v>46005</v>
      </c>
      <c r="W5" s="13">
        <f>V5+1</f>
        <v>46006</v>
      </c>
      <c r="X5" s="12">
        <f>W5+1</f>
        <v>46007</v>
      </c>
      <c r="Y5" s="12">
        <f t="shared" si="0"/>
        <v>46008</v>
      </c>
      <c r="Z5" s="12">
        <f t="shared" si="0"/>
        <v>46009</v>
      </c>
      <c r="AA5" s="12">
        <f t="shared" si="0"/>
        <v>46010</v>
      </c>
      <c r="AB5" s="12">
        <f t="shared" si="0"/>
        <v>46011</v>
      </c>
      <c r="AC5" s="14">
        <f t="shared" si="0"/>
        <v>46012</v>
      </c>
      <c r="AD5" s="13">
        <f>AC5+1</f>
        <v>46013</v>
      </c>
      <c r="AE5" s="12">
        <f>AD5+1</f>
        <v>46014</v>
      </c>
      <c r="AF5" s="12">
        <f t="shared" si="0"/>
        <v>46015</v>
      </c>
      <c r="AG5" s="12">
        <f t="shared" si="0"/>
        <v>46016</v>
      </c>
      <c r="AH5" s="12">
        <f t="shared" si="0"/>
        <v>46017</v>
      </c>
      <c r="AI5" s="12">
        <f t="shared" si="0"/>
        <v>46018</v>
      </c>
      <c r="AJ5" s="14">
        <f t="shared" si="0"/>
        <v>46019</v>
      </c>
      <c r="AK5" s="13">
        <f>AJ5+1</f>
        <v>46020</v>
      </c>
      <c r="AL5" s="12">
        <f>AK5+1</f>
        <v>46021</v>
      </c>
      <c r="AM5" s="12">
        <f t="shared" si="0"/>
        <v>46022</v>
      </c>
      <c r="AN5" s="12">
        <f t="shared" si="0"/>
        <v>46023</v>
      </c>
      <c r="AO5" s="12">
        <f t="shared" si="0"/>
        <v>46024</v>
      </c>
      <c r="AP5" s="12">
        <f t="shared" si="0"/>
        <v>46025</v>
      </c>
      <c r="AQ5" s="14">
        <f t="shared" si="0"/>
        <v>46026</v>
      </c>
      <c r="AR5" s="13">
        <f>AQ5+1</f>
        <v>46027</v>
      </c>
      <c r="AS5" s="12">
        <f>AR5+1</f>
        <v>46028</v>
      </c>
      <c r="AT5" s="12">
        <f t="shared" si="0"/>
        <v>46029</v>
      </c>
      <c r="AU5" s="12">
        <f t="shared" si="0"/>
        <v>46030</v>
      </c>
      <c r="AV5" s="12">
        <f t="shared" si="0"/>
        <v>46031</v>
      </c>
      <c r="AW5" s="12">
        <f t="shared" si="0"/>
        <v>46032</v>
      </c>
      <c r="AX5" s="14">
        <f t="shared" si="0"/>
        <v>46033</v>
      </c>
      <c r="AY5" s="13">
        <f>AX5+1</f>
        <v>46034</v>
      </c>
      <c r="AZ5" s="12">
        <f>AY5+1</f>
        <v>46035</v>
      </c>
      <c r="BA5" s="12">
        <f t="shared" ref="BA5:BE5" si="1">AZ5+1</f>
        <v>46036</v>
      </c>
      <c r="BB5" s="12">
        <f t="shared" si="1"/>
        <v>46037</v>
      </c>
      <c r="BC5" s="12">
        <f t="shared" si="1"/>
        <v>46038</v>
      </c>
      <c r="BD5" s="12">
        <f t="shared" si="1"/>
        <v>46039</v>
      </c>
      <c r="BE5" s="14">
        <f t="shared" si="1"/>
        <v>46040</v>
      </c>
      <c r="BF5" s="13">
        <f>BE5+1</f>
        <v>46041</v>
      </c>
      <c r="BG5" s="12">
        <f>BF5+1</f>
        <v>46042</v>
      </c>
      <c r="BH5" s="12">
        <f t="shared" ref="BH5:BL5" si="2">BG5+1</f>
        <v>46043</v>
      </c>
      <c r="BI5" s="12">
        <f t="shared" si="2"/>
        <v>46044</v>
      </c>
      <c r="BJ5" s="12">
        <f t="shared" si="2"/>
        <v>46045</v>
      </c>
      <c r="BK5" s="12">
        <f t="shared" si="2"/>
        <v>46046</v>
      </c>
      <c r="BL5" s="14">
        <f t="shared" si="2"/>
        <v>46047</v>
      </c>
      <c r="BM5" s="13">
        <f>BL5+1</f>
        <v>46048</v>
      </c>
      <c r="BN5" s="12">
        <f>BM5+1</f>
        <v>46049</v>
      </c>
      <c r="BO5" s="12">
        <f t="shared" ref="BO5" si="3">BN5+1</f>
        <v>46050</v>
      </c>
      <c r="BP5" s="12">
        <f t="shared" ref="BP5" si="4">BO5+1</f>
        <v>46051</v>
      </c>
      <c r="BQ5" s="12">
        <f t="shared" ref="BQ5" si="5">BP5+1</f>
        <v>46052</v>
      </c>
      <c r="BR5" s="12">
        <f t="shared" ref="BR5" si="6">BQ5+1</f>
        <v>46053</v>
      </c>
      <c r="BS5" s="14">
        <f t="shared" ref="BS5" si="7">BR5+1</f>
        <v>46054</v>
      </c>
      <c r="BT5" s="13">
        <f>BS5+1</f>
        <v>46055</v>
      </c>
      <c r="BU5" s="12">
        <f>BT5+1</f>
        <v>46056</v>
      </c>
      <c r="BV5" s="12">
        <f t="shared" ref="BV5" si="8">BU5+1</f>
        <v>46057</v>
      </c>
      <c r="BW5" s="12">
        <f t="shared" ref="BW5" si="9">BV5+1</f>
        <v>46058</v>
      </c>
      <c r="BX5" s="12">
        <f t="shared" ref="BX5" si="10">BW5+1</f>
        <v>46059</v>
      </c>
      <c r="BY5" s="12">
        <f t="shared" ref="BY5" si="11">BX5+1</f>
        <v>46060</v>
      </c>
      <c r="BZ5" s="14">
        <f t="shared" ref="BZ5" si="12">BY5+1</f>
        <v>46061</v>
      </c>
    </row>
    <row r="6" spans="1:78" ht="29.25" customHeight="1" thickBot="1" x14ac:dyDescent="0.3">
      <c r="A6" s="18"/>
      <c r="B6" s="10" t="s">
        <v>8</v>
      </c>
      <c r="C6" s="11" t="s">
        <v>2</v>
      </c>
      <c r="D6" s="11" t="s">
        <v>1</v>
      </c>
      <c r="E6" s="11" t="s">
        <v>4</v>
      </c>
      <c r="F6" s="11" t="s">
        <v>5</v>
      </c>
      <c r="G6" s="11"/>
      <c r="H6" s="11" t="s">
        <v>6</v>
      </c>
      <c r="I6" s="15" t="str">
        <f t="shared" ref="I6" si="13">LEFT(TEXT(I5,"ddd"),1)</f>
        <v>M</v>
      </c>
      <c r="J6" s="15" t="str">
        <f t="shared" ref="J6:AR6" si="14">LEFT(TEXT(J5,"ddd"),1)</f>
        <v>T</v>
      </c>
      <c r="K6" s="15" t="str">
        <f t="shared" si="14"/>
        <v>W</v>
      </c>
      <c r="L6" s="15" t="str">
        <f t="shared" si="14"/>
        <v>T</v>
      </c>
      <c r="M6" s="15" t="str">
        <f t="shared" si="14"/>
        <v>F</v>
      </c>
      <c r="N6" s="15" t="str">
        <f t="shared" si="14"/>
        <v>S</v>
      </c>
      <c r="O6" s="15" t="str">
        <f t="shared" si="14"/>
        <v>S</v>
      </c>
      <c r="P6" s="15" t="str">
        <f t="shared" si="14"/>
        <v>M</v>
      </c>
      <c r="Q6" s="15" t="str">
        <f t="shared" si="14"/>
        <v>T</v>
      </c>
      <c r="R6" s="15" t="str">
        <f t="shared" si="14"/>
        <v>W</v>
      </c>
      <c r="S6" s="15" t="str">
        <f t="shared" si="14"/>
        <v>T</v>
      </c>
      <c r="T6" s="15" t="str">
        <f t="shared" si="14"/>
        <v>F</v>
      </c>
      <c r="U6" s="15" t="str">
        <f t="shared" si="14"/>
        <v>S</v>
      </c>
      <c r="V6" s="15" t="str">
        <f t="shared" si="14"/>
        <v>S</v>
      </c>
      <c r="W6" s="15" t="str">
        <f t="shared" si="14"/>
        <v>M</v>
      </c>
      <c r="X6" s="15" t="str">
        <f t="shared" si="14"/>
        <v>T</v>
      </c>
      <c r="Y6" s="15" t="str">
        <f t="shared" si="14"/>
        <v>W</v>
      </c>
      <c r="Z6" s="15" t="str">
        <f t="shared" si="14"/>
        <v>T</v>
      </c>
      <c r="AA6" s="15" t="str">
        <f t="shared" si="14"/>
        <v>F</v>
      </c>
      <c r="AB6" s="15" t="str">
        <f t="shared" si="14"/>
        <v>S</v>
      </c>
      <c r="AC6" s="15" t="str">
        <f t="shared" si="14"/>
        <v>S</v>
      </c>
      <c r="AD6" s="15" t="str">
        <f t="shared" si="14"/>
        <v>M</v>
      </c>
      <c r="AE6" s="15" t="str">
        <f t="shared" si="14"/>
        <v>T</v>
      </c>
      <c r="AF6" s="15" t="str">
        <f t="shared" si="14"/>
        <v>W</v>
      </c>
      <c r="AG6" s="15" t="str">
        <f t="shared" si="14"/>
        <v>T</v>
      </c>
      <c r="AH6" s="15" t="str">
        <f t="shared" si="14"/>
        <v>F</v>
      </c>
      <c r="AI6" s="15" t="str">
        <f t="shared" si="14"/>
        <v>S</v>
      </c>
      <c r="AJ6" s="15" t="str">
        <f t="shared" si="14"/>
        <v>S</v>
      </c>
      <c r="AK6" s="15" t="str">
        <f t="shared" si="14"/>
        <v>M</v>
      </c>
      <c r="AL6" s="15" t="str">
        <f t="shared" si="14"/>
        <v>T</v>
      </c>
      <c r="AM6" s="15" t="str">
        <f t="shared" si="14"/>
        <v>W</v>
      </c>
      <c r="AN6" s="15" t="str">
        <f t="shared" si="14"/>
        <v>T</v>
      </c>
      <c r="AO6" s="15" t="str">
        <f t="shared" si="14"/>
        <v>F</v>
      </c>
      <c r="AP6" s="15" t="str">
        <f t="shared" si="14"/>
        <v>S</v>
      </c>
      <c r="AQ6" s="15" t="str">
        <f t="shared" si="14"/>
        <v>S</v>
      </c>
      <c r="AR6" s="15" t="str">
        <f t="shared" si="14"/>
        <v>M</v>
      </c>
      <c r="AS6" s="15" t="str">
        <f t="shared" ref="AS6:BL6" si="15">LEFT(TEXT(AS5,"ddd"),1)</f>
        <v>T</v>
      </c>
      <c r="AT6" s="15" t="str">
        <f t="shared" si="15"/>
        <v>W</v>
      </c>
      <c r="AU6" s="15" t="str">
        <f t="shared" si="15"/>
        <v>T</v>
      </c>
      <c r="AV6" s="15" t="str">
        <f t="shared" si="15"/>
        <v>F</v>
      </c>
      <c r="AW6" s="15" t="str">
        <f t="shared" si="15"/>
        <v>S</v>
      </c>
      <c r="AX6" s="15" t="str">
        <f t="shared" si="15"/>
        <v>S</v>
      </c>
      <c r="AY6" s="15" t="str">
        <f t="shared" si="15"/>
        <v>M</v>
      </c>
      <c r="AZ6" s="15" t="str">
        <f t="shared" si="15"/>
        <v>T</v>
      </c>
      <c r="BA6" s="15" t="str">
        <f t="shared" si="15"/>
        <v>W</v>
      </c>
      <c r="BB6" s="15" t="str">
        <f t="shared" si="15"/>
        <v>T</v>
      </c>
      <c r="BC6" s="15" t="str">
        <f t="shared" si="15"/>
        <v>F</v>
      </c>
      <c r="BD6" s="15" t="str">
        <f t="shared" si="15"/>
        <v>S</v>
      </c>
      <c r="BE6" s="15" t="str">
        <f t="shared" si="15"/>
        <v>S</v>
      </c>
      <c r="BF6" s="15" t="str">
        <f t="shared" si="15"/>
        <v>M</v>
      </c>
      <c r="BG6" s="15" t="str">
        <f t="shared" si="15"/>
        <v>T</v>
      </c>
      <c r="BH6" s="15" t="str">
        <f t="shared" si="15"/>
        <v>W</v>
      </c>
      <c r="BI6" s="15" t="str">
        <f t="shared" si="15"/>
        <v>T</v>
      </c>
      <c r="BJ6" s="15" t="str">
        <f t="shared" si="15"/>
        <v>F</v>
      </c>
      <c r="BK6" s="15" t="str">
        <f t="shared" si="15"/>
        <v>S</v>
      </c>
      <c r="BL6" s="15" t="str">
        <f t="shared" si="15"/>
        <v>S</v>
      </c>
      <c r="BM6" s="15" t="str">
        <f t="shared" ref="BM6:BS6" si="16">LEFT(TEXT(BM5,"ddd"),1)</f>
        <v>M</v>
      </c>
      <c r="BN6" s="15" t="str">
        <f t="shared" si="16"/>
        <v>T</v>
      </c>
      <c r="BO6" s="15" t="str">
        <f t="shared" si="16"/>
        <v>W</v>
      </c>
      <c r="BP6" s="15" t="str">
        <f t="shared" si="16"/>
        <v>T</v>
      </c>
      <c r="BQ6" s="15" t="str">
        <f t="shared" si="16"/>
        <v>F</v>
      </c>
      <c r="BR6" s="15" t="str">
        <f t="shared" si="16"/>
        <v>S</v>
      </c>
      <c r="BS6" s="15" t="str">
        <f t="shared" si="16"/>
        <v>S</v>
      </c>
      <c r="BT6" s="15" t="str">
        <f t="shared" ref="BT6:BZ6" si="17">LEFT(TEXT(BT5,"ddd"),1)</f>
        <v>M</v>
      </c>
      <c r="BU6" s="15" t="str">
        <f t="shared" si="17"/>
        <v>T</v>
      </c>
      <c r="BV6" s="15" t="str">
        <f t="shared" si="17"/>
        <v>W</v>
      </c>
      <c r="BW6" s="15" t="str">
        <f t="shared" si="17"/>
        <v>T</v>
      </c>
      <c r="BX6" s="15" t="str">
        <f t="shared" si="17"/>
        <v>F</v>
      </c>
      <c r="BY6" s="15" t="str">
        <f t="shared" si="17"/>
        <v>S</v>
      </c>
      <c r="BZ6" s="15" t="str">
        <f t="shared" si="17"/>
        <v>S</v>
      </c>
    </row>
    <row r="7" spans="1:78" s="3" customFormat="1" ht="21.75" thickBot="1" x14ac:dyDescent="0.3">
      <c r="A7" s="18"/>
      <c r="B7" s="19"/>
      <c r="C7" s="20"/>
      <c r="D7" s="21"/>
      <c r="E7" s="22"/>
      <c r="F7" s="23"/>
      <c r="G7" s="24"/>
      <c r="H7" s="24" t="str">
        <f t="shared" ref="H7:H36" si="18">IF(OR(ISBLANK(task_start),ISBLANK(task_end)),"",task_end-task_start+1)</f>
        <v/>
      </c>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row>
    <row r="8" spans="1:78" s="3" customFormat="1" ht="21.75" thickBot="1" x14ac:dyDescent="0.3">
      <c r="A8" s="18"/>
      <c r="B8" s="25" t="s">
        <v>26</v>
      </c>
      <c r="C8" s="26"/>
      <c r="D8" s="27"/>
      <c r="E8" s="28"/>
      <c r="F8" s="29"/>
      <c r="G8" s="24"/>
      <c r="H8" s="24" t="str">
        <f t="shared" si="18"/>
        <v/>
      </c>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row>
    <row r="9" spans="1:78" s="3" customFormat="1" ht="21.75" thickBot="1" x14ac:dyDescent="0.3">
      <c r="A9" s="18"/>
      <c r="B9" s="30" t="s">
        <v>32</v>
      </c>
      <c r="C9" s="31"/>
      <c r="D9" s="32">
        <v>0.5</v>
      </c>
      <c r="E9" s="33">
        <v>45997</v>
      </c>
      <c r="F9" s="33">
        <v>46004</v>
      </c>
      <c r="G9" s="24"/>
      <c r="H9" s="24">
        <f t="shared" si="18"/>
        <v>8</v>
      </c>
      <c r="I9" s="74"/>
      <c r="J9" s="74"/>
      <c r="K9" s="74"/>
      <c r="L9" s="74"/>
      <c r="M9" s="74"/>
      <c r="N9" s="74"/>
      <c r="O9" s="74"/>
      <c r="P9" s="74"/>
      <c r="Q9" s="74"/>
      <c r="R9" s="74"/>
      <c r="S9" s="74"/>
      <c r="T9" s="74"/>
      <c r="U9" s="75"/>
      <c r="V9" s="75"/>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row>
    <row r="10" spans="1:78" s="3" customFormat="1" ht="21.75" thickBot="1" x14ac:dyDescent="0.3">
      <c r="A10" s="18"/>
      <c r="B10" s="30" t="s">
        <v>33</v>
      </c>
      <c r="C10" s="31"/>
      <c r="D10" s="32">
        <v>0.8</v>
      </c>
      <c r="E10" s="33">
        <v>45997</v>
      </c>
      <c r="F10" s="33">
        <v>46011</v>
      </c>
      <c r="G10" s="24"/>
      <c r="H10" s="24">
        <f t="shared" si="18"/>
        <v>15</v>
      </c>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row>
    <row r="11" spans="1:78" s="3" customFormat="1" ht="21.75" thickBot="1" x14ac:dyDescent="0.3">
      <c r="A11" s="18"/>
      <c r="B11" s="30" t="s">
        <v>31</v>
      </c>
      <c r="C11" s="31"/>
      <c r="D11" s="32">
        <v>0.8</v>
      </c>
      <c r="E11" s="33">
        <v>46005</v>
      </c>
      <c r="F11" s="33">
        <v>46011</v>
      </c>
      <c r="G11" s="24"/>
      <c r="H11" s="24">
        <f t="shared" si="18"/>
        <v>7</v>
      </c>
      <c r="I11" s="74"/>
      <c r="J11" s="74"/>
      <c r="K11" s="74"/>
      <c r="L11" s="74"/>
      <c r="M11" s="74"/>
      <c r="N11" s="74"/>
      <c r="O11" s="74"/>
      <c r="P11" s="74"/>
      <c r="Q11" s="74"/>
      <c r="R11" s="74"/>
      <c r="S11" s="74"/>
      <c r="T11" s="74"/>
      <c r="U11" s="74"/>
      <c r="V11" s="74"/>
      <c r="W11" s="74"/>
      <c r="X11" s="74"/>
      <c r="Y11" s="75"/>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row>
    <row r="12" spans="1:78" s="3" customFormat="1" ht="21.75" thickBot="1" x14ac:dyDescent="0.3">
      <c r="A12" s="18"/>
      <c r="B12" s="34" t="s">
        <v>27</v>
      </c>
      <c r="C12" s="35"/>
      <c r="D12" s="36"/>
      <c r="E12" s="37"/>
      <c r="F12" s="38"/>
      <c r="G12" s="24"/>
      <c r="H12" s="24" t="str">
        <f t="shared" si="18"/>
        <v/>
      </c>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row>
    <row r="13" spans="1:78" s="3" customFormat="1" ht="21.75" thickBot="1" x14ac:dyDescent="0.3">
      <c r="A13" s="18"/>
      <c r="B13" s="39" t="s">
        <v>40</v>
      </c>
      <c r="C13" s="40"/>
      <c r="D13" s="41">
        <v>0</v>
      </c>
      <c r="E13" s="42">
        <v>46009</v>
      </c>
      <c r="F13" s="43">
        <v>46013</v>
      </c>
      <c r="G13" s="24"/>
      <c r="H13" s="24">
        <f t="shared" si="18"/>
        <v>5</v>
      </c>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row>
    <row r="14" spans="1:78" s="3" customFormat="1" ht="21.75" thickBot="1" x14ac:dyDescent="0.3">
      <c r="A14" s="18"/>
      <c r="B14" s="39" t="s">
        <v>34</v>
      </c>
      <c r="C14" s="40"/>
      <c r="D14" s="41">
        <v>0</v>
      </c>
      <c r="E14" s="42">
        <v>46011</v>
      </c>
      <c r="F14" s="43">
        <v>46014</v>
      </c>
      <c r="G14" s="24"/>
      <c r="H14" s="24">
        <f t="shared" si="18"/>
        <v>4</v>
      </c>
      <c r="I14" s="74"/>
      <c r="J14" s="74"/>
      <c r="K14" s="74"/>
      <c r="L14" s="74"/>
      <c r="M14" s="74"/>
      <c r="N14" s="74"/>
      <c r="O14" s="74"/>
      <c r="P14" s="74"/>
      <c r="Q14" s="74"/>
      <c r="R14" s="74"/>
      <c r="S14" s="74"/>
      <c r="T14" s="74"/>
      <c r="U14" s="75"/>
      <c r="V14" s="75"/>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row>
    <row r="15" spans="1:78" s="3" customFormat="1" ht="21.75" thickBot="1" x14ac:dyDescent="0.3">
      <c r="A15" s="18"/>
      <c r="B15" s="39" t="s">
        <v>35</v>
      </c>
      <c r="C15" s="40"/>
      <c r="D15" s="41">
        <v>0</v>
      </c>
      <c r="E15" s="42">
        <v>46013</v>
      </c>
      <c r="F15" s="43">
        <v>46016</v>
      </c>
      <c r="G15" s="24"/>
      <c r="H15" s="24">
        <f t="shared" si="18"/>
        <v>4</v>
      </c>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row>
    <row r="16" spans="1:78" s="3" customFormat="1" ht="21.75" thickBot="1" x14ac:dyDescent="0.3">
      <c r="A16" s="18"/>
      <c r="B16" s="39" t="s">
        <v>36</v>
      </c>
      <c r="C16" s="40"/>
      <c r="D16" s="41">
        <v>0</v>
      </c>
      <c r="E16" s="42">
        <v>46015</v>
      </c>
      <c r="F16" s="43">
        <v>46018</v>
      </c>
      <c r="G16" s="24"/>
      <c r="H16" s="2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row>
    <row r="17" spans="1:78" s="3" customFormat="1" ht="21.75" thickBot="1" x14ac:dyDescent="0.3">
      <c r="A17" s="18"/>
      <c r="B17" s="44" t="s">
        <v>28</v>
      </c>
      <c r="C17" s="45"/>
      <c r="D17" s="46"/>
      <c r="E17" s="47"/>
      <c r="F17" s="48"/>
      <c r="G17" s="24"/>
      <c r="H17" s="24" t="str">
        <f t="shared" si="18"/>
        <v/>
      </c>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row>
    <row r="18" spans="1:78" s="3" customFormat="1" ht="21.75" thickBot="1" x14ac:dyDescent="0.3">
      <c r="A18" s="18"/>
      <c r="B18" s="49" t="s">
        <v>40</v>
      </c>
      <c r="C18" s="50"/>
      <c r="D18" s="51">
        <v>0</v>
      </c>
      <c r="E18" s="52">
        <v>46009</v>
      </c>
      <c r="F18" s="53">
        <v>46013</v>
      </c>
      <c r="G18" s="24"/>
      <c r="H18" s="24">
        <f t="shared" si="18"/>
        <v>5</v>
      </c>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row>
    <row r="19" spans="1:78" s="3" customFormat="1" ht="21.75" thickBot="1" x14ac:dyDescent="0.3">
      <c r="A19" s="18"/>
      <c r="B19" s="49" t="s">
        <v>37</v>
      </c>
      <c r="C19" s="50"/>
      <c r="D19" s="51">
        <v>0</v>
      </c>
      <c r="E19" s="52">
        <v>46011</v>
      </c>
      <c r="F19" s="53">
        <v>46014</v>
      </c>
      <c r="G19" s="24"/>
      <c r="H19" s="2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row>
    <row r="20" spans="1:78" s="3" customFormat="1" ht="21.75" thickBot="1" x14ac:dyDescent="0.3">
      <c r="A20" s="18"/>
      <c r="B20" s="49" t="s">
        <v>34</v>
      </c>
      <c r="C20" s="50"/>
      <c r="D20" s="51">
        <v>0</v>
      </c>
      <c r="E20" s="52">
        <v>46013</v>
      </c>
      <c r="F20" s="53">
        <v>46016</v>
      </c>
      <c r="G20" s="24"/>
      <c r="H20" s="24">
        <f t="shared" si="18"/>
        <v>4</v>
      </c>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row>
    <row r="21" spans="1:78" s="3" customFormat="1" ht="21.75" thickBot="1" x14ac:dyDescent="0.3">
      <c r="A21" s="18"/>
      <c r="B21" s="49" t="s">
        <v>36</v>
      </c>
      <c r="C21" s="50"/>
      <c r="D21" s="51">
        <v>0</v>
      </c>
      <c r="E21" s="52">
        <v>46015</v>
      </c>
      <c r="F21" s="52">
        <v>46018</v>
      </c>
      <c r="G21" s="24"/>
      <c r="H21" s="24">
        <f t="shared" si="18"/>
        <v>4</v>
      </c>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row>
    <row r="22" spans="1:78" s="3" customFormat="1" ht="21.75" thickBot="1" x14ac:dyDescent="0.3">
      <c r="A22" s="18"/>
      <c r="B22" s="49" t="s">
        <v>38</v>
      </c>
      <c r="C22" s="50"/>
      <c r="D22" s="51">
        <v>0</v>
      </c>
      <c r="E22" s="53">
        <v>46014</v>
      </c>
      <c r="F22" s="53">
        <v>46020</v>
      </c>
      <c r="G22" s="24"/>
      <c r="H22" s="2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row>
    <row r="23" spans="1:78" s="3" customFormat="1" ht="21.75" thickBot="1" x14ac:dyDescent="0.3">
      <c r="A23" s="18"/>
      <c r="B23" s="54" t="s">
        <v>29</v>
      </c>
      <c r="C23" s="55"/>
      <c r="D23" s="56"/>
      <c r="E23" s="57"/>
      <c r="F23" s="58"/>
      <c r="G23" s="24"/>
      <c r="H23" s="24" t="str">
        <f t="shared" si="18"/>
        <v/>
      </c>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row>
    <row r="24" spans="1:78" s="3" customFormat="1" ht="21.75" thickBot="1" x14ac:dyDescent="0.3">
      <c r="A24" s="18"/>
      <c r="B24" s="59" t="s">
        <v>40</v>
      </c>
      <c r="C24" s="60"/>
      <c r="D24" s="61">
        <v>0</v>
      </c>
      <c r="E24" s="62">
        <v>46018</v>
      </c>
      <c r="F24" s="63">
        <v>46025</v>
      </c>
      <c r="G24" s="24"/>
      <c r="H24" s="24">
        <f t="shared" si="18"/>
        <v>8</v>
      </c>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row>
    <row r="25" spans="1:78" s="3" customFormat="1" ht="21.75" thickBot="1" x14ac:dyDescent="0.3">
      <c r="A25" s="18"/>
      <c r="B25" s="59" t="s">
        <v>41</v>
      </c>
      <c r="C25" s="60"/>
      <c r="D25" s="61">
        <v>0</v>
      </c>
      <c r="E25" s="62">
        <v>46022</v>
      </c>
      <c r="F25" s="63">
        <v>46030</v>
      </c>
      <c r="G25" s="24"/>
      <c r="H25" s="24">
        <f t="shared" si="18"/>
        <v>9</v>
      </c>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row>
    <row r="26" spans="1:78" s="3" customFormat="1" ht="21.75" thickBot="1" x14ac:dyDescent="0.3">
      <c r="A26" s="18"/>
      <c r="B26" s="59" t="s">
        <v>42</v>
      </c>
      <c r="C26" s="60"/>
      <c r="D26" s="61">
        <v>0</v>
      </c>
      <c r="E26" s="62">
        <v>46022</v>
      </c>
      <c r="F26" s="63">
        <v>46037</v>
      </c>
      <c r="G26" s="24"/>
      <c r="H26" s="24">
        <f t="shared" si="18"/>
        <v>16</v>
      </c>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row>
    <row r="27" spans="1:78" s="3" customFormat="1" ht="21.75" thickBot="1" x14ac:dyDescent="0.3">
      <c r="A27" s="18"/>
      <c r="B27" s="59" t="s">
        <v>36</v>
      </c>
      <c r="C27" s="60"/>
      <c r="D27" s="61">
        <v>0</v>
      </c>
      <c r="E27" s="63">
        <v>46029</v>
      </c>
      <c r="F27" s="63">
        <v>46040</v>
      </c>
      <c r="G27" s="24"/>
      <c r="H27" s="24">
        <f t="shared" si="18"/>
        <v>12</v>
      </c>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row>
    <row r="28" spans="1:78" s="3" customFormat="1" ht="21.75" thickBot="1" x14ac:dyDescent="0.3">
      <c r="A28" s="18"/>
      <c r="B28" s="64" t="s">
        <v>30</v>
      </c>
      <c r="C28" s="65"/>
      <c r="D28" s="66"/>
      <c r="E28" s="67"/>
      <c r="F28" s="68"/>
      <c r="G28" s="24"/>
      <c r="H28" s="24" t="str">
        <f t="shared" si="18"/>
        <v/>
      </c>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row>
    <row r="29" spans="1:78" s="3" customFormat="1" ht="21.75" thickBot="1" x14ac:dyDescent="0.3">
      <c r="A29" s="18"/>
      <c r="B29" s="69" t="s">
        <v>43</v>
      </c>
      <c r="C29" s="70"/>
      <c r="D29" s="71">
        <v>0</v>
      </c>
      <c r="E29" s="72">
        <v>46039</v>
      </c>
      <c r="F29" s="73">
        <v>46040</v>
      </c>
      <c r="G29" s="24"/>
      <c r="H29" s="24">
        <f t="shared" si="18"/>
        <v>2</v>
      </c>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row>
    <row r="30" spans="1:78" s="3" customFormat="1" ht="21.75" thickBot="1" x14ac:dyDescent="0.3">
      <c r="A30" s="18"/>
      <c r="B30" s="69" t="s">
        <v>34</v>
      </c>
      <c r="C30" s="70"/>
      <c r="D30" s="71">
        <v>0</v>
      </c>
      <c r="E30" s="72">
        <v>46039</v>
      </c>
      <c r="F30" s="73">
        <v>46047</v>
      </c>
      <c r="G30" s="24"/>
      <c r="H30" s="2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row>
    <row r="31" spans="1:78" s="3" customFormat="1" ht="21.75" thickBot="1" x14ac:dyDescent="0.3">
      <c r="A31" s="18"/>
      <c r="B31" s="69" t="s">
        <v>35</v>
      </c>
      <c r="C31" s="70"/>
      <c r="D31" s="71">
        <v>0</v>
      </c>
      <c r="E31" s="72">
        <v>46040</v>
      </c>
      <c r="F31" s="73">
        <v>46047</v>
      </c>
      <c r="G31" s="24"/>
      <c r="H31" s="24">
        <f t="shared" si="18"/>
        <v>8</v>
      </c>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row>
    <row r="32" spans="1:78" s="3" customFormat="1" ht="21.75" thickBot="1" x14ac:dyDescent="0.3">
      <c r="A32" s="18"/>
      <c r="B32" s="69" t="s">
        <v>36</v>
      </c>
      <c r="C32" s="70"/>
      <c r="D32" s="71">
        <v>0</v>
      </c>
      <c r="E32" s="72">
        <v>46043</v>
      </c>
      <c r="F32" s="73">
        <v>46047</v>
      </c>
      <c r="G32" s="24"/>
      <c r="H32" s="24">
        <f t="shared" si="18"/>
        <v>5</v>
      </c>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row>
    <row r="33" spans="1:78" s="3" customFormat="1" ht="21.75" thickBot="1" x14ac:dyDescent="0.3">
      <c r="A33" s="18"/>
      <c r="B33" s="69" t="s">
        <v>42</v>
      </c>
      <c r="C33" s="70"/>
      <c r="D33" s="71">
        <v>0</v>
      </c>
      <c r="E33" s="73">
        <v>46046</v>
      </c>
      <c r="F33" s="73">
        <v>46054</v>
      </c>
      <c r="G33" s="24"/>
      <c r="H33" s="2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row>
    <row r="34" spans="1:78" s="3" customFormat="1" ht="21.75" thickBot="1" x14ac:dyDescent="0.3">
      <c r="A34" s="18"/>
      <c r="B34" s="95" t="s">
        <v>46</v>
      </c>
      <c r="C34" s="96"/>
      <c r="D34" s="97"/>
      <c r="E34" s="98"/>
      <c r="F34" s="99"/>
      <c r="G34" s="24"/>
      <c r="H34" s="24" t="str">
        <f t="shared" si="18"/>
        <v/>
      </c>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row>
    <row r="35" spans="1:78" s="3" customFormat="1" ht="21.75" thickBot="1" x14ac:dyDescent="0.3">
      <c r="A35" s="18"/>
      <c r="B35" s="91" t="s">
        <v>39</v>
      </c>
      <c r="C35" s="92"/>
      <c r="D35" s="93">
        <v>0</v>
      </c>
      <c r="E35" s="94" t="s">
        <v>44</v>
      </c>
      <c r="F35" s="94" t="s">
        <v>44</v>
      </c>
      <c r="G35" s="24"/>
      <c r="H35" s="24" t="e">
        <f t="shared" si="18"/>
        <v>#VALUE!</v>
      </c>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row>
    <row r="36" spans="1:78" s="3" customFormat="1" ht="21.75" thickBot="1" x14ac:dyDescent="0.3">
      <c r="A36" s="18"/>
      <c r="B36" s="91" t="s">
        <v>45</v>
      </c>
      <c r="C36" s="92"/>
      <c r="D36" s="93">
        <v>0</v>
      </c>
      <c r="E36" s="94" t="s">
        <v>44</v>
      </c>
      <c r="F36" s="94" t="s">
        <v>44</v>
      </c>
      <c r="G36" s="24"/>
      <c r="H36" s="24" t="e">
        <f t="shared" si="18"/>
        <v>#VALUE!</v>
      </c>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row>
    <row r="37" spans="1:78" x14ac:dyDescent="0.25">
      <c r="B37" s="89" t="s">
        <v>16</v>
      </c>
      <c r="C37" s="17"/>
    </row>
    <row r="38" spans="1:78" x14ac:dyDescent="0.25">
      <c r="B38" s="88" t="s">
        <v>22</v>
      </c>
    </row>
  </sheetData>
  <mergeCells count="13">
    <mergeCell ref="BM4:BS4"/>
    <mergeCell ref="BT4:BZ4"/>
    <mergeCell ref="J1:AA1"/>
    <mergeCell ref="AK4:AQ4"/>
    <mergeCell ref="AR4:AX4"/>
    <mergeCell ref="AY4:BE4"/>
    <mergeCell ref="BF4:BL4"/>
    <mergeCell ref="E2:F2"/>
    <mergeCell ref="I4:O4"/>
    <mergeCell ref="P4:V4"/>
    <mergeCell ref="W4:AC4"/>
    <mergeCell ref="AD4:AJ4"/>
    <mergeCell ref="E3:F3"/>
  </mergeCells>
  <conditionalFormatting sqref="D7:D36">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Z36">
    <cfRule type="expression" dxfId="2" priority="27">
      <formula>AND(today&gt;=I$5,today&lt;I$5+1)</formula>
    </cfRule>
  </conditionalFormatting>
  <conditionalFormatting sqref="I7:BZ36">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37" r:id="rId1" xr:uid="{00000000-0004-0000-0000-000000000000}"/>
  </hyperlinks>
  <pageMargins left="0.35" right="0.35" top="0.35" bottom="0.5" header="0.3" footer="0.3"/>
  <pageSetup scale="62" fitToHeight="0" orientation="landscape" r:id="rId2"/>
  <headerFooter scaleWithDoc="0"/>
  <legacyDrawing r:id="rId3"/>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2" customWidth="1"/>
    <col min="2" max="2" width="87.140625" style="76" customWidth="1"/>
    <col min="3" max="16384" width="9.140625" style="2"/>
  </cols>
  <sheetData>
    <row r="1" spans="2:3" ht="46.5" customHeight="1" x14ac:dyDescent="0.2"/>
    <row r="2" spans="2:3" s="78" customFormat="1" ht="15.75" x14ac:dyDescent="0.25">
      <c r="B2" s="77" t="s">
        <v>11</v>
      </c>
      <c r="C2" s="77"/>
    </row>
    <row r="3" spans="2:3" s="80" customFormat="1" ht="13.5" customHeight="1" x14ac:dyDescent="0.25">
      <c r="B3" s="79" t="s">
        <v>16</v>
      </c>
      <c r="C3" s="79"/>
    </row>
    <row r="4" spans="2:3" x14ac:dyDescent="0.2">
      <c r="B4" s="87" t="s">
        <v>22</v>
      </c>
    </row>
    <row r="6" spans="2:3" s="81" customFormat="1" ht="26.25" x14ac:dyDescent="0.4">
      <c r="B6" s="83" t="s">
        <v>10</v>
      </c>
    </row>
    <row r="7" spans="2:3" ht="60" x14ac:dyDescent="0.2">
      <c r="B7" s="84" t="s">
        <v>19</v>
      </c>
    </row>
    <row r="8" spans="2:3" ht="15" x14ac:dyDescent="0.2">
      <c r="B8" s="82"/>
    </row>
    <row r="9" spans="2:3" s="81" customFormat="1" ht="26.25" x14ac:dyDescent="0.4">
      <c r="B9" s="83" t="s">
        <v>12</v>
      </c>
    </row>
    <row r="10" spans="2:3" ht="60" x14ac:dyDescent="0.2">
      <c r="B10" s="84" t="s">
        <v>20</v>
      </c>
    </row>
    <row r="11" spans="2:3" ht="14.25" x14ac:dyDescent="0.2">
      <c r="B11" s="85" t="s">
        <v>18</v>
      </c>
    </row>
    <row r="12" spans="2:3" ht="15" x14ac:dyDescent="0.2">
      <c r="B12" s="82"/>
    </row>
    <row r="13" spans="2:3" ht="14.25" x14ac:dyDescent="0.2">
      <c r="B13" s="90" t="str">
        <f>HYPERLINK("https://vertex42.link/HowToMakeAGanttChart","► Watch How This Gantt Chart Was Created")</f>
        <v>► Watch How This Gantt Chart Was Created</v>
      </c>
    </row>
    <row r="14" spans="2:3" ht="15" x14ac:dyDescent="0.2">
      <c r="B14" s="82"/>
    </row>
    <row r="15" spans="2:3" s="81" customFormat="1" ht="26.25" x14ac:dyDescent="0.4">
      <c r="B15" s="83" t="s">
        <v>9</v>
      </c>
    </row>
    <row r="16" spans="2:3" ht="30" x14ac:dyDescent="0.2">
      <c r="B16" s="84" t="s">
        <v>17</v>
      </c>
    </row>
    <row r="17" spans="2:2" ht="14.25" x14ac:dyDescent="0.2">
      <c r="B17" s="85" t="s">
        <v>3</v>
      </c>
    </row>
    <row r="18" spans="2:2" ht="15" x14ac:dyDescent="0.2">
      <c r="B18" s="82"/>
    </row>
    <row r="19" spans="2:2" s="81" customFormat="1" ht="26.25" x14ac:dyDescent="0.4">
      <c r="B19" s="83" t="s">
        <v>13</v>
      </c>
    </row>
    <row r="20" spans="2:2" ht="60" x14ac:dyDescent="0.2">
      <c r="B20" s="84" t="s">
        <v>14</v>
      </c>
    </row>
    <row r="21" spans="2:2" ht="15" x14ac:dyDescent="0.2">
      <c r="B21" s="82"/>
    </row>
    <row r="22" spans="2:2" ht="75" x14ac:dyDescent="0.2">
      <c r="B22" s="84" t="s">
        <v>15</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Vertex42.com;Jose Reyes</dc:creator>
  <dc:description>© 2018-2019 Vertex42 LLC. All Rights Reserved.</dc:description>
  <cp:lastModifiedBy>Jose Reyes</cp:lastModifiedBy>
  <cp:lastPrinted>2019-04-24T14:39:40Z</cp:lastPrinted>
  <dcterms:created xsi:type="dcterms:W3CDTF">2017-01-09T18:01:51Z</dcterms:created>
  <dcterms:modified xsi:type="dcterms:W3CDTF">2025-12-08T04:14:11Z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